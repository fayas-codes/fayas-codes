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<sst xmlns="http://schemas.openxmlformats.org/spreadsheetml/2006/main" count="69" uniqueCount="43">
  <si>
    <t>Sl. No.</t>
  </si>
  <si>
    <t>Date</t>
  </si>
  <si>
    <t>Description</t>
  </si>
  <si>
    <t>Income</t>
  </si>
  <si>
    <t>Expense</t>
  </si>
  <si>
    <t>Ongoing Balance</t>
  </si>
  <si>
    <t>Starting Balance</t>
  </si>
  <si>
    <t>Customers</t>
  </si>
  <si>
    <t>01/02/25</t>
  </si>
  <si>
    <t>01/03/25</t>
  </si>
  <si>
    <t>Spare Parts (Wholesale Kochi)</t>
  </si>
  <si>
    <t>01/05/25</t>
  </si>
  <si>
    <t>Shop Rental(Partial)</t>
  </si>
  <si>
    <t>01/06/25</t>
  </si>
  <si>
    <t>Food(Restaurant)</t>
  </si>
  <si>
    <t>01/08/25</t>
  </si>
  <si>
    <t>Electronics(Headsets, Speakers etc)</t>
  </si>
  <si>
    <t>01/10/25</t>
  </si>
  <si>
    <t>Electricity Bill</t>
  </si>
  <si>
    <t>01/12/25</t>
  </si>
  <si>
    <t>01/14/25</t>
  </si>
  <si>
    <t>New Soldering Iron</t>
  </si>
  <si>
    <t>New Backlit Flex Board Replacement</t>
  </si>
  <si>
    <t>01/15/25</t>
  </si>
  <si>
    <t>01/17/25</t>
  </si>
  <si>
    <t>Tea &amp; Snacks for Shop</t>
  </si>
  <si>
    <t>Revenue Of Last Month</t>
  </si>
  <si>
    <t>Revenue Of ThisMonth</t>
  </si>
  <si>
    <t>01/19/25</t>
  </si>
  <si>
    <t>01/21/25</t>
  </si>
  <si>
    <t>WiFi Bill</t>
  </si>
  <si>
    <t>Gadgets(Wholesale)</t>
  </si>
  <si>
    <t>01/24/25</t>
  </si>
  <si>
    <t xml:space="preserve">Customers    </t>
  </si>
  <si>
    <t>Second Hand Phones</t>
  </si>
  <si>
    <t>01/27/25</t>
  </si>
  <si>
    <t>01/28/25</t>
  </si>
  <si>
    <t>Printing &amp; Stationery</t>
  </si>
  <si>
    <t>01/30/25</t>
  </si>
  <si>
    <t>Employee Salary</t>
  </si>
  <si>
    <t>01/31/25</t>
  </si>
  <si>
    <t>UPI Transaction Tax</t>
  </si>
  <si>
    <t>Revenue Of This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</si>
</sst>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m&quot;/&quot;dd&quot;/&quot;yy"/>
  </numFmts>
  <fonts count="10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name val="Arial"/>
    </font>
    <font>
      <color rgb="FF274E13"/>
      <name val="Arial"/>
    </font>
    <font>
      <color rgb="FF38761D"/>
      <name val="Arial"/>
    </font>
    <font>
      <color rgb="FFCC0000"/>
      <name val="Arial"/>
    </font>
    <font>
      <b/>
      <name val="Arial"/>
    </font>
    <font>
      <b/>
      <sz val="11.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left"/>
    </xf>
    <xf borderId="1" fillId="2" fontId="1" numFmtId="2" xfId="0" applyAlignment="1" applyBorder="1" applyFont="1" applyNumberForma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3" fontId="3" numFmtId="3" xfId="0" applyAlignment="1" applyBorder="1" applyFill="1" applyFont="1" applyNumberFormat="1">
      <alignment horizontal="center"/>
    </xf>
    <xf borderId="1" fillId="3" fontId="3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3" fontId="5" numFmtId="2" xfId="0" applyAlignment="1" applyBorder="1" applyFont="1" applyNumberFormat="1">
      <alignment horizontal="center"/>
    </xf>
    <xf borderId="1" fillId="3" fontId="6" numFmtId="2" xfId="0" applyAlignment="1" applyBorder="1" applyFont="1" applyNumberFormat="1">
      <alignment horizontal="center"/>
    </xf>
    <xf borderId="1" fillId="3" fontId="3" numFmtId="2" xfId="0" applyAlignment="1" applyBorder="1" applyFont="1" applyNumberFormat="1">
      <alignment horizontal="left"/>
    </xf>
    <xf borderId="1" fillId="4" fontId="3" numFmtId="3" xfId="0" applyAlignment="1" applyBorder="1" applyFill="1" applyFont="1" applyNumberFormat="1">
      <alignment horizontal="center"/>
    </xf>
    <xf borderId="1" fillId="4" fontId="3" numFmtId="164" xfId="0" applyAlignment="1" applyBorder="1" applyFont="1" applyNumberFormat="1">
      <alignment horizontal="left"/>
    </xf>
    <xf borderId="1" fillId="4" fontId="3" numFmtId="0" xfId="0" applyAlignment="1" applyBorder="1" applyFont="1">
      <alignment horizontal="left"/>
    </xf>
    <xf borderId="1" fillId="4" fontId="5" numFmtId="2" xfId="0" applyAlignment="1" applyBorder="1" applyFont="1" applyNumberFormat="1">
      <alignment horizontal="center"/>
    </xf>
    <xf borderId="1" fillId="4" fontId="6" numFmtId="2" xfId="0" applyAlignment="1" applyBorder="1" applyFont="1" applyNumberFormat="1">
      <alignment horizontal="center"/>
    </xf>
    <xf borderId="1" fillId="4" fontId="3" numFmtId="2" xfId="0" applyAlignment="1" applyBorder="1" applyFont="1" applyNumberFormat="1">
      <alignment horizontal="left"/>
    </xf>
    <xf borderId="0" fillId="0" fontId="5" numFmtId="0" xfId="0" applyFont="1"/>
    <xf borderId="0" fillId="0" fontId="2" numFmtId="2" xfId="0" applyFont="1" applyNumberFormat="1"/>
    <xf borderId="1" fillId="3" fontId="3" numFmtId="165" xfId="0" applyAlignment="1" applyBorder="1" applyFont="1" applyNumberFormat="1">
      <alignment horizontal="left"/>
    </xf>
    <xf borderId="1" fillId="4" fontId="3" numFmtId="165" xfId="0" applyAlignment="1" applyBorder="1" applyFont="1" applyNumberFormat="1">
      <alignment horizontal="left"/>
    </xf>
    <xf borderId="2" fillId="3" fontId="3" numFmtId="3" xfId="0" applyAlignment="1" applyBorder="1" applyFont="1" applyNumberFormat="1">
      <alignment horizontal="center"/>
    </xf>
    <xf borderId="2" fillId="3" fontId="3" numFmtId="0" xfId="0" applyAlignment="1" applyBorder="1" applyFont="1">
      <alignment horizontal="left"/>
    </xf>
    <xf borderId="2" fillId="3" fontId="5" numFmtId="2" xfId="0" applyAlignment="1" applyBorder="1" applyFont="1" applyNumberFormat="1">
      <alignment horizontal="center"/>
    </xf>
    <xf borderId="2" fillId="3" fontId="6" numFmtId="2" xfId="0" applyAlignment="1" applyBorder="1" applyFont="1" applyNumberFormat="1">
      <alignment horizontal="center"/>
    </xf>
    <xf borderId="2" fillId="3" fontId="7" numFmtId="2" xfId="0" applyAlignment="1" applyBorder="1" applyFont="1" applyNumberFormat="1">
      <alignment horizontal="left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2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3" fillId="4" fontId="3" numFmtId="0" xfId="0" applyAlignment="1" applyBorder="1" applyFont="1">
      <alignment horizontal="left"/>
    </xf>
    <xf borderId="4" fillId="4" fontId="8" numFmtId="2" xfId="0" applyAlignment="1" applyBorder="1" applyFont="1" applyNumberFormat="1">
      <alignment horizontal="center"/>
    </xf>
    <xf borderId="5" fillId="0" fontId="9" numFmtId="0" xfId="0" applyBorder="1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000000"/>
                </a:solidFill>
                <a:latin typeface="Arial"/>
              </a:defRPr>
            </a:pPr>
            <a:r>
              <a:rPr b="0" i="0" sz="2400">
                <a:solidFill>
                  <a:srgbClr val="000000"/>
                </a:solidFill>
                <a:latin typeface="Arial"/>
              </a:rPr>
              <a:t>Revenue vs Expense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Sheet1!$H$11:$H$12</c:f>
            </c:strRef>
          </c:cat>
          <c:val>
            <c:numRef>
              <c:f>Sheet1!$I$11:$I$12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Comparison Of Revenue Of Previous And This Month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6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Sheet1!$H$24:$H$25</c:f>
            </c:strRef>
          </c:cat>
          <c:val>
            <c:numRef>
              <c:f>Sheet1!$I$24:$I$25</c:f>
              <c:numCache/>
            </c:numRef>
          </c:val>
        </c:ser>
        <c:axId val="1698042192"/>
        <c:axId val="645299754"/>
      </c:barChart>
      <c:catAx>
        <c:axId val="16980421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645299754"/>
      </c:catAx>
      <c:valAx>
        <c:axId val="6452997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804219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685800</xdr:colOff>
      <xdr:row>3</xdr:row>
      <xdr:rowOff>142875</xdr:rowOff>
    </xdr:from>
    <xdr:ext cx="4314825" cy="2428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1095375</xdr:colOff>
      <xdr:row>15</xdr:row>
      <xdr:rowOff>85725</xdr:rowOff>
    </xdr:from>
    <xdr:ext cx="7696200" cy="2190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8.57"/>
    <col customWidth="1" min="3" max="3" width="32.57"/>
    <col customWidth="1" min="4" max="4" width="10.14"/>
    <col customWidth="1" min="5" max="5" width="9.14"/>
    <col customWidth="1" min="6" max="6" width="16.86"/>
    <col customWidth="1" min="7" max="14" width="12.57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/>
      <c r="H1" s="5"/>
      <c r="I1" s="5"/>
      <c r="J1" s="5"/>
      <c r="K1" s="6"/>
      <c r="L1" s="5"/>
      <c r="M1" s="5"/>
      <c r="N1" s="5"/>
    </row>
    <row r="2" ht="15.75" customHeight="1">
      <c r="A2" s="7">
        <v>1.0</v>
      </c>
      <c r="B2" s="8">
        <v>45658.0</v>
      </c>
      <c r="C2" s="9" t="s">
        <v>6</v>
      </c>
      <c r="D2" s="10">
        <v>54000.0</v>
      </c>
      <c r="E2" s="11"/>
      <c r="F2" s="12">
        <v>54000.0</v>
      </c>
      <c r="G2" s="5"/>
      <c r="H2" s="5"/>
      <c r="I2" s="5"/>
      <c r="J2" s="5"/>
      <c r="K2" s="5"/>
      <c r="L2" s="5"/>
      <c r="M2" s="5"/>
      <c r="N2" s="5"/>
    </row>
    <row r="3" ht="15.75" customHeight="1">
      <c r="A3" s="13" t="str">
        <f t="shared" ref="A3:A44" si="1">A2+1</f>
        <v>2</v>
      </c>
      <c r="B3" s="14">
        <v>45658.0</v>
      </c>
      <c r="C3" s="15" t="s">
        <v>7</v>
      </c>
      <c r="D3" s="16">
        <v>5880.0</v>
      </c>
      <c r="E3" s="17"/>
      <c r="F3" s="18" t="str">
        <f t="shared" ref="F3:F44" si="2">F2 + D3 - E3</f>
        <v>59880.00</v>
      </c>
      <c r="G3" s="5"/>
      <c r="H3" s="19"/>
      <c r="I3" s="5"/>
      <c r="J3" s="5"/>
      <c r="K3" s="5"/>
      <c r="L3" s="5"/>
      <c r="M3" s="5"/>
      <c r="N3" s="5"/>
    </row>
    <row r="4" ht="15.75" customHeight="1">
      <c r="A4" s="7" t="str">
        <f t="shared" si="1"/>
        <v>3</v>
      </c>
      <c r="B4" s="9" t="s">
        <v>8</v>
      </c>
      <c r="C4" s="9" t="s">
        <v>7</v>
      </c>
      <c r="D4" s="10">
        <v>6400.0</v>
      </c>
      <c r="E4" s="11"/>
      <c r="F4" s="12" t="str">
        <f t="shared" si="2"/>
        <v>66280.00</v>
      </c>
      <c r="G4" s="5"/>
      <c r="H4" s="5"/>
      <c r="I4" s="5"/>
      <c r="J4" s="5"/>
      <c r="K4" s="5"/>
      <c r="L4" s="5"/>
      <c r="M4" s="5"/>
      <c r="N4" s="5"/>
    </row>
    <row r="5" ht="15.75" customHeight="1">
      <c r="A5" s="13" t="str">
        <f t="shared" si="1"/>
        <v>4</v>
      </c>
      <c r="B5" s="15" t="s">
        <v>9</v>
      </c>
      <c r="C5" s="15" t="s">
        <v>10</v>
      </c>
      <c r="D5" s="16"/>
      <c r="E5" s="17">
        <v>9650.0</v>
      </c>
      <c r="F5" s="18" t="str">
        <f t="shared" si="2"/>
        <v>56630.00</v>
      </c>
      <c r="G5" s="5"/>
      <c r="H5" s="5"/>
      <c r="I5" s="5"/>
      <c r="J5" s="5"/>
      <c r="K5" s="5"/>
      <c r="L5" s="5"/>
      <c r="M5" s="5"/>
      <c r="N5" s="5"/>
    </row>
    <row r="6" ht="15.75" customHeight="1">
      <c r="A6" s="7" t="str">
        <f t="shared" si="1"/>
        <v>5</v>
      </c>
      <c r="B6" s="8">
        <v>45660.0</v>
      </c>
      <c r="C6" s="9" t="s">
        <v>7</v>
      </c>
      <c r="D6" s="10">
        <v>6580.0</v>
      </c>
      <c r="E6" s="11"/>
      <c r="F6" s="12" t="str">
        <f t="shared" si="2"/>
        <v>63210.00</v>
      </c>
      <c r="G6" s="5"/>
      <c r="H6" s="5"/>
      <c r="I6" s="5"/>
      <c r="J6" s="5"/>
      <c r="K6" s="5"/>
      <c r="L6" s="5"/>
      <c r="M6" s="5"/>
      <c r="N6" s="5"/>
    </row>
    <row r="7" ht="15.75" customHeight="1">
      <c r="A7" s="13" t="str">
        <f t="shared" si="1"/>
        <v>6</v>
      </c>
      <c r="B7" s="15" t="s">
        <v>11</v>
      </c>
      <c r="C7" s="15" t="s">
        <v>12</v>
      </c>
      <c r="D7" s="16"/>
      <c r="E7" s="17">
        <v>7500.0</v>
      </c>
      <c r="F7" s="18" t="str">
        <f t="shared" si="2"/>
        <v>55710.00</v>
      </c>
      <c r="G7" s="5"/>
      <c r="H7" s="5"/>
      <c r="I7" s="5"/>
      <c r="J7" s="5"/>
      <c r="K7" s="5"/>
      <c r="L7" s="5"/>
      <c r="M7" s="5"/>
      <c r="N7" s="5"/>
    </row>
    <row r="8" ht="15.75" customHeight="1">
      <c r="A8" s="7" t="str">
        <f t="shared" si="1"/>
        <v>7</v>
      </c>
      <c r="B8" s="8">
        <v>45662.0</v>
      </c>
      <c r="C8" s="9" t="s">
        <v>7</v>
      </c>
      <c r="D8" s="10">
        <v>5410.0</v>
      </c>
      <c r="E8" s="11"/>
      <c r="F8" s="12" t="str">
        <f t="shared" si="2"/>
        <v>61120.00</v>
      </c>
      <c r="G8" s="5"/>
      <c r="H8" s="5"/>
      <c r="I8" s="5"/>
      <c r="J8" s="5"/>
      <c r="K8" s="5"/>
      <c r="L8" s="5"/>
      <c r="M8" s="5"/>
      <c r="N8" s="5"/>
    </row>
    <row r="9" ht="15.75" customHeight="1">
      <c r="A9" s="13" t="str">
        <f t="shared" si="1"/>
        <v>8</v>
      </c>
      <c r="B9" s="15" t="s">
        <v>13</v>
      </c>
      <c r="C9" s="15" t="s">
        <v>7</v>
      </c>
      <c r="D9" s="16">
        <v>4860.0</v>
      </c>
      <c r="E9" s="17"/>
      <c r="F9" s="18" t="str">
        <f t="shared" si="2"/>
        <v>65980.00</v>
      </c>
      <c r="G9" s="5"/>
      <c r="H9" s="5"/>
      <c r="I9" s="5"/>
      <c r="J9" s="5"/>
      <c r="K9" s="5"/>
      <c r="L9" s="5"/>
      <c r="M9" s="5"/>
      <c r="N9" s="5"/>
    </row>
    <row r="10" ht="15.75" customHeight="1">
      <c r="A10" s="7" t="str">
        <f t="shared" si="1"/>
        <v>9</v>
      </c>
      <c r="B10" s="8">
        <v>45664.0</v>
      </c>
      <c r="C10" s="9" t="s">
        <v>7</v>
      </c>
      <c r="D10" s="10">
        <v>5260.0</v>
      </c>
      <c r="E10" s="11"/>
      <c r="F10" s="12" t="str">
        <f t="shared" si="2"/>
        <v>71240.00</v>
      </c>
      <c r="G10" s="5"/>
      <c r="H10" s="5"/>
      <c r="I10" s="5"/>
      <c r="J10" s="5"/>
      <c r="K10" s="5"/>
      <c r="L10" s="5"/>
      <c r="M10" s="5"/>
      <c r="N10" s="5"/>
    </row>
    <row r="11" ht="15.75" customHeight="1">
      <c r="A11" s="13" t="str">
        <f t="shared" si="1"/>
        <v>10</v>
      </c>
      <c r="B11" s="14">
        <v>45664.0</v>
      </c>
      <c r="C11" s="15" t="s">
        <v>14</v>
      </c>
      <c r="D11" s="16"/>
      <c r="E11" s="17">
        <v>400.0</v>
      </c>
      <c r="F11" s="18" t="str">
        <f t="shared" si="2"/>
        <v>70840.00</v>
      </c>
      <c r="G11" s="5"/>
      <c r="H11" s="5"/>
      <c r="I11" s="20">
        <v>193650.0</v>
      </c>
      <c r="J11" s="5"/>
      <c r="K11" s="5"/>
      <c r="L11" s="5"/>
      <c r="M11" s="5"/>
      <c r="N11" s="5"/>
    </row>
    <row r="12" ht="15.75" customHeight="1">
      <c r="A12" s="7" t="str">
        <f t="shared" si="1"/>
        <v>11</v>
      </c>
      <c r="B12" s="9" t="s">
        <v>15</v>
      </c>
      <c r="C12" s="9" t="s">
        <v>16</v>
      </c>
      <c r="D12" s="10"/>
      <c r="E12" s="11">
        <v>15000.0</v>
      </c>
      <c r="F12" s="12" t="str">
        <f t="shared" si="2"/>
        <v>55840.00</v>
      </c>
      <c r="G12" s="5"/>
      <c r="H12" s="5"/>
      <c r="I12" s="20">
        <v>132000.0</v>
      </c>
      <c r="J12" s="5"/>
      <c r="K12" s="5"/>
      <c r="L12" s="5"/>
      <c r="M12" s="5"/>
      <c r="N12" s="5"/>
    </row>
    <row r="13" ht="15.75" customHeight="1">
      <c r="A13" s="13" t="str">
        <f t="shared" si="1"/>
        <v>12</v>
      </c>
      <c r="B13" s="14">
        <v>45665.0</v>
      </c>
      <c r="C13" s="15" t="s">
        <v>7</v>
      </c>
      <c r="D13" s="16">
        <v>8400.0</v>
      </c>
      <c r="E13" s="17"/>
      <c r="F13" s="18" t="str">
        <f t="shared" si="2"/>
        <v>64240.00</v>
      </c>
      <c r="G13" s="5"/>
      <c r="H13" s="5"/>
      <c r="I13" s="5"/>
      <c r="J13" s="5"/>
      <c r="K13" s="5"/>
      <c r="L13" s="5"/>
      <c r="M13" s="5"/>
      <c r="N13" s="5"/>
    </row>
    <row r="14" ht="15.75" customHeight="1">
      <c r="A14" s="7" t="str">
        <f t="shared" si="1"/>
        <v>13</v>
      </c>
      <c r="B14" s="8">
        <v>45666.0</v>
      </c>
      <c r="C14" s="9" t="s">
        <v>7</v>
      </c>
      <c r="D14" s="10">
        <v>6600.0</v>
      </c>
      <c r="E14" s="11"/>
      <c r="F14" s="12" t="str">
        <f t="shared" si="2"/>
        <v>70840.00</v>
      </c>
      <c r="G14" s="5"/>
      <c r="H14" s="5"/>
      <c r="I14" s="5"/>
      <c r="J14" s="5"/>
      <c r="K14" s="5"/>
      <c r="L14" s="5"/>
      <c r="M14" s="5"/>
      <c r="N14" s="5"/>
    </row>
    <row r="15" ht="15.75" customHeight="1">
      <c r="A15" s="13" t="str">
        <f t="shared" si="1"/>
        <v>14</v>
      </c>
      <c r="B15" s="15" t="s">
        <v>17</v>
      </c>
      <c r="C15" s="15" t="s">
        <v>18</v>
      </c>
      <c r="D15" s="16"/>
      <c r="E15" s="17">
        <v>2300.0</v>
      </c>
      <c r="F15" s="18" t="str">
        <f t="shared" si="2"/>
        <v>68540.00</v>
      </c>
      <c r="G15" s="5"/>
      <c r="H15" s="5"/>
      <c r="I15" s="5"/>
      <c r="J15" s="5"/>
      <c r="K15" s="5"/>
      <c r="L15" s="5"/>
      <c r="M15" s="5"/>
      <c r="N15" s="5"/>
    </row>
    <row r="16" ht="15.75" customHeight="1">
      <c r="A16" s="7" t="str">
        <f t="shared" si="1"/>
        <v>15</v>
      </c>
      <c r="B16" s="8">
        <v>45667.0</v>
      </c>
      <c r="C16" s="9" t="s">
        <v>7</v>
      </c>
      <c r="D16" s="10">
        <v>9900.0</v>
      </c>
      <c r="E16" s="11"/>
      <c r="F16" s="12" t="str">
        <f t="shared" si="2"/>
        <v>78440.00</v>
      </c>
      <c r="G16" s="5"/>
      <c r="H16" s="5"/>
      <c r="I16" s="5"/>
      <c r="J16" s="5"/>
      <c r="K16" s="5"/>
      <c r="L16" s="5"/>
      <c r="M16" s="5"/>
      <c r="N16" s="5"/>
    </row>
    <row r="17" ht="15.75" customHeight="1">
      <c r="A17" s="13" t="str">
        <f t="shared" si="1"/>
        <v>16</v>
      </c>
      <c r="B17" s="15" t="s">
        <v>19</v>
      </c>
      <c r="C17" s="15" t="s">
        <v>7</v>
      </c>
      <c r="D17" s="16">
        <v>8500.0</v>
      </c>
      <c r="E17" s="17"/>
      <c r="F17" s="18" t="str">
        <f t="shared" si="2"/>
        <v>86940.00</v>
      </c>
      <c r="G17" s="5"/>
      <c r="H17" s="5"/>
      <c r="I17" s="5"/>
      <c r="J17" s="5"/>
      <c r="K17" s="5"/>
      <c r="L17" s="5"/>
      <c r="M17" s="5"/>
      <c r="N17" s="5"/>
    </row>
    <row r="18" ht="15.75" customHeight="1">
      <c r="A18" s="7" t="str">
        <f t="shared" si="1"/>
        <v>17</v>
      </c>
      <c r="B18" s="8">
        <v>45670.0</v>
      </c>
      <c r="C18" s="9" t="s">
        <v>7</v>
      </c>
      <c r="D18" s="10">
        <v>5400.0</v>
      </c>
      <c r="E18" s="11"/>
      <c r="F18" s="12" t="str">
        <f t="shared" si="2"/>
        <v>92340.00</v>
      </c>
      <c r="G18" s="5"/>
      <c r="H18" s="5"/>
      <c r="I18" s="5"/>
      <c r="J18" s="5"/>
      <c r="K18" s="5"/>
      <c r="L18" s="5"/>
      <c r="M18" s="5"/>
      <c r="N18" s="5"/>
    </row>
    <row r="19" ht="15.75" customHeight="1">
      <c r="A19" s="13" t="str">
        <f t="shared" si="1"/>
        <v>18</v>
      </c>
      <c r="B19" s="14">
        <v>45671.0</v>
      </c>
      <c r="C19" s="15" t="s">
        <v>7</v>
      </c>
      <c r="D19" s="16">
        <v>4250.0</v>
      </c>
      <c r="E19" s="17"/>
      <c r="F19" s="18" t="str">
        <f t="shared" si="2"/>
        <v>96590.00</v>
      </c>
      <c r="G19" s="5"/>
      <c r="H19" s="5"/>
      <c r="I19" s="5"/>
      <c r="J19" s="5"/>
      <c r="K19" s="5"/>
      <c r="L19" s="5"/>
      <c r="M19" s="5"/>
      <c r="N19" s="5"/>
    </row>
    <row r="20" ht="15.75" customHeight="1">
      <c r="A20" s="7" t="str">
        <f t="shared" si="1"/>
        <v>19</v>
      </c>
      <c r="B20" s="9" t="s">
        <v>20</v>
      </c>
      <c r="C20" s="9" t="s">
        <v>21</v>
      </c>
      <c r="D20" s="10"/>
      <c r="E20" s="11">
        <v>450.0</v>
      </c>
      <c r="F20" s="12" t="str">
        <f t="shared" si="2"/>
        <v>96140.00</v>
      </c>
      <c r="G20" s="5"/>
      <c r="H20" s="5"/>
      <c r="I20" s="5"/>
      <c r="J20" s="5"/>
      <c r="K20" s="5"/>
      <c r="L20" s="5"/>
      <c r="M20" s="5"/>
      <c r="N20" s="5"/>
    </row>
    <row r="21" ht="15.75" customHeight="1">
      <c r="A21" s="13" t="str">
        <f t="shared" si="1"/>
        <v>20</v>
      </c>
      <c r="B21" s="14">
        <v>45672.0</v>
      </c>
      <c r="C21" s="15" t="s">
        <v>22</v>
      </c>
      <c r="D21" s="16"/>
      <c r="E21" s="17">
        <v>6500.0</v>
      </c>
      <c r="F21" s="18" t="str">
        <f t="shared" si="2"/>
        <v>89640.00</v>
      </c>
      <c r="G21" s="5"/>
      <c r="H21" s="5"/>
      <c r="I21" s="5"/>
      <c r="J21" s="5"/>
      <c r="K21" s="5"/>
      <c r="L21" s="5"/>
      <c r="M21" s="5"/>
      <c r="N21" s="5"/>
    </row>
    <row r="22" ht="15.75" customHeight="1">
      <c r="A22" s="7" t="str">
        <f t="shared" si="1"/>
        <v>21</v>
      </c>
      <c r="B22" s="9" t="s">
        <v>23</v>
      </c>
      <c r="C22" s="9" t="s">
        <v>7</v>
      </c>
      <c r="D22" s="10">
        <v>10250.0</v>
      </c>
      <c r="E22" s="11"/>
      <c r="F22" s="12" t="str">
        <f t="shared" si="2"/>
        <v>99890.00</v>
      </c>
      <c r="G22" s="5"/>
      <c r="H22" s="5"/>
      <c r="I22" s="5"/>
      <c r="J22" s="5"/>
      <c r="K22" s="5"/>
      <c r="L22" s="5"/>
      <c r="M22" s="5"/>
      <c r="N22" s="5"/>
    </row>
    <row r="23" ht="15.75" customHeight="1">
      <c r="A23" s="13" t="str">
        <f t="shared" si="1"/>
        <v>22</v>
      </c>
      <c r="B23" s="14">
        <v>45673.0</v>
      </c>
      <c r="C23" s="15" t="s">
        <v>7</v>
      </c>
      <c r="D23" s="16">
        <v>14200.0</v>
      </c>
      <c r="E23" s="17"/>
      <c r="F23" s="18" t="str">
        <f t="shared" si="2"/>
        <v>114090.00</v>
      </c>
      <c r="G23" s="5"/>
      <c r="H23" s="5"/>
      <c r="I23" s="5"/>
      <c r="J23" s="5"/>
      <c r="K23" s="5"/>
      <c r="L23" s="5"/>
      <c r="M23" s="5"/>
      <c r="N23" s="5"/>
    </row>
    <row r="24" ht="15.75" customHeight="1">
      <c r="A24" s="7" t="str">
        <f t="shared" si="1"/>
        <v>23</v>
      </c>
      <c r="B24" s="9" t="s">
        <v>24</v>
      </c>
      <c r="C24" s="9" t="s">
        <v>25</v>
      </c>
      <c r="D24" s="10"/>
      <c r="E24" s="11">
        <v>160.0</v>
      </c>
      <c r="F24" s="12" t="str">
        <f t="shared" si="2"/>
        <v>113930.00</v>
      </c>
      <c r="G24" s="5"/>
      <c r="H24" s="4" t="s">
        <v>26</v>
      </c>
      <c r="I24" s="4">
        <v>54000.0</v>
      </c>
      <c r="J24" s="5"/>
      <c r="K24" s="5"/>
      <c r="L24" s="5"/>
      <c r="M24" s="5"/>
      <c r="N24" s="5"/>
    </row>
    <row r="25" ht="15.75" customHeight="1">
      <c r="A25" s="13" t="str">
        <f t="shared" si="1"/>
        <v>24</v>
      </c>
      <c r="B25" s="14">
        <v>45674.0</v>
      </c>
      <c r="C25" s="15" t="s">
        <v>7</v>
      </c>
      <c r="D25" s="16">
        <v>8700.0</v>
      </c>
      <c r="E25" s="17"/>
      <c r="F25" s="18" t="str">
        <f t="shared" si="2"/>
        <v>122630.00</v>
      </c>
      <c r="G25" s="5"/>
      <c r="H25" s="4" t="s">
        <v>27</v>
      </c>
      <c r="I25" s="20" t="str">
        <f>F44-54000</f>
        <v>61650.00</v>
      </c>
      <c r="J25" s="5"/>
      <c r="K25" s="5"/>
      <c r="L25" s="5"/>
      <c r="M25" s="5"/>
      <c r="N25" s="5"/>
    </row>
    <row r="26" ht="15.75" customHeight="1">
      <c r="A26" s="7" t="str">
        <f t="shared" si="1"/>
        <v>25</v>
      </c>
      <c r="B26" s="9" t="s">
        <v>28</v>
      </c>
      <c r="C26" s="9" t="s">
        <v>7</v>
      </c>
      <c r="D26" s="10">
        <v>7550.0</v>
      </c>
      <c r="E26" s="11"/>
      <c r="F26" s="12" t="str">
        <f t="shared" si="2"/>
        <v>130180.00</v>
      </c>
      <c r="G26" s="5"/>
      <c r="H26" s="5"/>
      <c r="I26" s="5"/>
      <c r="J26" s="5"/>
      <c r="K26" s="5"/>
      <c r="L26" s="5"/>
      <c r="M26" s="5"/>
      <c r="N26" s="5"/>
    </row>
    <row r="27" ht="15.75" customHeight="1">
      <c r="A27" s="13" t="str">
        <f t="shared" si="1"/>
        <v>26</v>
      </c>
      <c r="B27" s="14">
        <v>45677.0</v>
      </c>
      <c r="C27" s="15" t="s">
        <v>7</v>
      </c>
      <c r="D27" s="16">
        <v>5460.0</v>
      </c>
      <c r="E27" s="17"/>
      <c r="F27" s="18" t="str">
        <f t="shared" si="2"/>
        <v>135640.00</v>
      </c>
      <c r="G27" s="5"/>
      <c r="H27" s="5"/>
      <c r="I27" s="5"/>
      <c r="J27" s="5"/>
      <c r="K27" s="5"/>
      <c r="L27" s="5"/>
      <c r="M27" s="5"/>
      <c r="N27" s="5"/>
    </row>
    <row r="28" ht="15.75" customHeight="1">
      <c r="A28" s="7" t="str">
        <f t="shared" si="1"/>
        <v>27</v>
      </c>
      <c r="B28" s="9" t="s">
        <v>29</v>
      </c>
      <c r="C28" s="9" t="s">
        <v>30</v>
      </c>
      <c r="D28" s="10"/>
      <c r="E28" s="11">
        <v>500.0</v>
      </c>
      <c r="F28" s="12" t="str">
        <f t="shared" si="2"/>
        <v>135140.00</v>
      </c>
      <c r="G28" s="5"/>
      <c r="H28" s="5"/>
      <c r="I28" s="5"/>
      <c r="J28" s="5"/>
      <c r="K28" s="5"/>
      <c r="L28" s="5"/>
      <c r="M28" s="5"/>
      <c r="N28" s="5"/>
    </row>
    <row r="29" ht="15.75" customHeight="1">
      <c r="A29" s="13" t="str">
        <f t="shared" si="1"/>
        <v>28</v>
      </c>
      <c r="B29" s="14">
        <v>45678.0</v>
      </c>
      <c r="C29" s="15" t="s">
        <v>7</v>
      </c>
      <c r="D29" s="16">
        <v>7560.0</v>
      </c>
      <c r="E29" s="17"/>
      <c r="F29" s="18" t="str">
        <f t="shared" si="2"/>
        <v>142700.00</v>
      </c>
      <c r="G29" s="5"/>
      <c r="H29" s="5"/>
      <c r="I29" s="5"/>
      <c r="J29" s="5"/>
      <c r="K29" s="5"/>
      <c r="L29" s="5"/>
      <c r="M29" s="5"/>
      <c r="N29" s="5"/>
    </row>
    <row r="30" ht="15.75" customHeight="1">
      <c r="A30" s="7" t="str">
        <f t="shared" si="1"/>
        <v>29</v>
      </c>
      <c r="B30" s="8">
        <v>45679.0</v>
      </c>
      <c r="C30" s="9" t="s">
        <v>7</v>
      </c>
      <c r="D30" s="10">
        <v>6320.0</v>
      </c>
      <c r="E30" s="11"/>
      <c r="F30" s="12" t="str">
        <f t="shared" si="2"/>
        <v>149020.00</v>
      </c>
      <c r="G30" s="5"/>
      <c r="H30" s="5"/>
      <c r="I30" s="5"/>
      <c r="J30" s="5"/>
      <c r="K30" s="5"/>
      <c r="L30" s="5"/>
      <c r="M30" s="5"/>
      <c r="N30" s="5"/>
    </row>
    <row r="31" ht="15.75" customHeight="1">
      <c r="A31" s="13" t="str">
        <f t="shared" si="1"/>
        <v>30</v>
      </c>
      <c r="B31" s="14">
        <v>45679.0</v>
      </c>
      <c r="C31" s="15" t="s">
        <v>31</v>
      </c>
      <c r="D31" s="16"/>
      <c r="E31" s="17">
        <v>33500.0</v>
      </c>
      <c r="F31" s="18" t="str">
        <f t="shared" si="2"/>
        <v>115520.00</v>
      </c>
      <c r="G31" s="5"/>
      <c r="H31" s="5"/>
      <c r="I31" s="5"/>
      <c r="J31" s="5"/>
      <c r="K31" s="5"/>
      <c r="L31" s="5"/>
      <c r="M31" s="5"/>
      <c r="N31" s="5"/>
    </row>
    <row r="32" ht="15.75" customHeight="1">
      <c r="A32" s="7" t="str">
        <f t="shared" si="1"/>
        <v>31</v>
      </c>
      <c r="B32" s="8">
        <v>45680.0</v>
      </c>
      <c r="C32" s="9" t="s">
        <v>7</v>
      </c>
      <c r="D32" s="10">
        <v>9800.0</v>
      </c>
      <c r="E32" s="11"/>
      <c r="F32" s="12" t="str">
        <f t="shared" si="2"/>
        <v>125320.00</v>
      </c>
      <c r="G32" s="5"/>
      <c r="H32" s="5"/>
      <c r="I32" s="5"/>
      <c r="J32" s="5"/>
      <c r="K32" s="5"/>
      <c r="L32" s="5"/>
      <c r="M32" s="5"/>
      <c r="N32" s="5"/>
    </row>
    <row r="33" ht="15.75" customHeight="1">
      <c r="A33" s="13" t="str">
        <f t="shared" si="1"/>
        <v>32</v>
      </c>
      <c r="B33" s="15" t="s">
        <v>32</v>
      </c>
      <c r="C33" s="15" t="s">
        <v>7</v>
      </c>
      <c r="D33" s="16">
        <v>6850.0</v>
      </c>
      <c r="E33" s="17"/>
      <c r="F33" s="18" t="str">
        <f t="shared" si="2"/>
        <v>132170.00</v>
      </c>
      <c r="G33" s="5"/>
      <c r="H33" s="5"/>
      <c r="I33" s="5"/>
      <c r="J33" s="5"/>
      <c r="K33" s="5"/>
      <c r="L33" s="5"/>
      <c r="M33" s="5"/>
      <c r="N33" s="5"/>
    </row>
    <row r="34" ht="15.75" customHeight="1">
      <c r="A34" s="7" t="str">
        <f t="shared" si="1"/>
        <v>33</v>
      </c>
      <c r="B34" s="8">
        <v>45683.0</v>
      </c>
      <c r="C34" s="9" t="s">
        <v>33</v>
      </c>
      <c r="D34" s="10">
        <v>7700.0</v>
      </c>
      <c r="E34" s="11"/>
      <c r="F34" s="12" t="str">
        <f t="shared" si="2"/>
        <v>139870.00</v>
      </c>
      <c r="G34" s="5"/>
      <c r="H34" s="5"/>
      <c r="I34" s="5"/>
      <c r="J34" s="5"/>
      <c r="K34" s="5"/>
      <c r="L34" s="5"/>
      <c r="M34" s="5"/>
      <c r="N34" s="5"/>
    </row>
    <row r="35" ht="15.75" customHeight="1">
      <c r="A35" s="13" t="str">
        <f t="shared" si="1"/>
        <v>34</v>
      </c>
      <c r="B35" s="14">
        <v>45683.0</v>
      </c>
      <c r="C35" s="15" t="s">
        <v>34</v>
      </c>
      <c r="D35" s="16"/>
      <c r="E35" s="17">
        <v>35000.0</v>
      </c>
      <c r="F35" s="18" t="str">
        <f t="shared" si="2"/>
        <v>104870.00</v>
      </c>
      <c r="G35" s="5"/>
      <c r="H35" s="5"/>
      <c r="I35" s="5"/>
      <c r="J35" s="5"/>
      <c r="K35" s="5"/>
      <c r="L35" s="5"/>
      <c r="M35" s="5"/>
      <c r="N35" s="5"/>
    </row>
    <row r="36" ht="15.75" customHeight="1">
      <c r="A36" s="7" t="str">
        <f t="shared" si="1"/>
        <v>35</v>
      </c>
      <c r="B36" s="9" t="s">
        <v>35</v>
      </c>
      <c r="C36" s="9" t="s">
        <v>7</v>
      </c>
      <c r="D36" s="10">
        <v>4020.0</v>
      </c>
      <c r="E36" s="11"/>
      <c r="F36" s="12" t="str">
        <f t="shared" si="2"/>
        <v>108890.00</v>
      </c>
      <c r="G36" s="5"/>
      <c r="H36" s="5"/>
      <c r="I36" s="5"/>
      <c r="J36" s="5"/>
      <c r="K36" s="5"/>
      <c r="L36" s="5"/>
      <c r="M36" s="5"/>
      <c r="N36" s="5"/>
    </row>
    <row r="37" ht="15.75" customHeight="1">
      <c r="A37" s="13" t="str">
        <f t="shared" si="1"/>
        <v>36</v>
      </c>
      <c r="B37" s="15" t="s">
        <v>36</v>
      </c>
      <c r="C37" s="15" t="s">
        <v>37</v>
      </c>
      <c r="D37" s="16"/>
      <c r="E37" s="17">
        <v>1200.0</v>
      </c>
      <c r="F37" s="18" t="str">
        <f t="shared" si="2"/>
        <v>107690.00</v>
      </c>
      <c r="G37" s="5"/>
      <c r="H37" s="5"/>
      <c r="I37" s="5"/>
      <c r="J37" s="5"/>
      <c r="K37" s="5"/>
      <c r="L37" s="5"/>
      <c r="M37" s="5"/>
      <c r="N37" s="5"/>
    </row>
    <row r="38" ht="15.75" customHeight="1">
      <c r="A38" s="7" t="str">
        <f t="shared" si="1"/>
        <v>37</v>
      </c>
      <c r="B38" s="8">
        <v>45685.0</v>
      </c>
      <c r="C38" s="9" t="s">
        <v>7</v>
      </c>
      <c r="D38" s="10">
        <v>5400.0</v>
      </c>
      <c r="E38" s="11"/>
      <c r="F38" s="12" t="str">
        <f t="shared" si="2"/>
        <v>113090.00</v>
      </c>
      <c r="G38" s="5"/>
      <c r="H38" s="5"/>
      <c r="I38" s="5"/>
      <c r="J38" s="5"/>
      <c r="K38" s="5"/>
      <c r="L38" s="5"/>
      <c r="M38" s="5"/>
      <c r="N38" s="5"/>
    </row>
    <row r="39" ht="15.75" customHeight="1">
      <c r="A39" s="13" t="str">
        <f t="shared" si="1"/>
        <v>38</v>
      </c>
      <c r="B39" s="14">
        <v>45686.0</v>
      </c>
      <c r="C39" s="15" t="s">
        <v>7</v>
      </c>
      <c r="D39" s="16">
        <v>6250.0</v>
      </c>
      <c r="E39" s="17"/>
      <c r="F39" s="18" t="str">
        <f t="shared" si="2"/>
        <v>119340.00</v>
      </c>
      <c r="G39" s="5"/>
      <c r="H39" s="5"/>
      <c r="I39" s="5"/>
      <c r="J39" s="5"/>
      <c r="K39" s="5"/>
      <c r="L39" s="5"/>
      <c r="M39" s="5"/>
      <c r="N39" s="5"/>
    </row>
    <row r="40" ht="15.75" customHeight="1">
      <c r="A40" s="7" t="str">
        <f t="shared" si="1"/>
        <v>39</v>
      </c>
      <c r="B40" s="9" t="s">
        <v>38</v>
      </c>
      <c r="C40" s="9" t="s">
        <v>7</v>
      </c>
      <c r="D40" s="10">
        <v>8800.0</v>
      </c>
      <c r="E40" s="11"/>
      <c r="F40" s="12" t="str">
        <f t="shared" si="2"/>
        <v>128140.00</v>
      </c>
      <c r="G40" s="5"/>
      <c r="H40" s="5"/>
      <c r="I40" s="5"/>
      <c r="J40" s="5"/>
      <c r="K40" s="5"/>
      <c r="L40" s="5"/>
      <c r="M40" s="5"/>
      <c r="N40" s="5"/>
    </row>
    <row r="41" ht="15.75" customHeight="1">
      <c r="A41" s="13" t="str">
        <f t="shared" si="1"/>
        <v>40</v>
      </c>
      <c r="B41" s="14">
        <v>45687.0</v>
      </c>
      <c r="C41" s="15" t="s">
        <v>12</v>
      </c>
      <c r="D41" s="16"/>
      <c r="E41" s="17">
        <v>7500.0</v>
      </c>
      <c r="F41" s="18" t="str">
        <f t="shared" si="2"/>
        <v>120640.00</v>
      </c>
      <c r="G41" s="5"/>
      <c r="H41" s="5"/>
      <c r="I41" s="5"/>
      <c r="J41" s="5"/>
      <c r="K41" s="5"/>
      <c r="L41" s="5"/>
      <c r="M41" s="5"/>
      <c r="N41" s="5"/>
    </row>
    <row r="42" ht="15.75" customHeight="1">
      <c r="A42" s="7" t="str">
        <f t="shared" si="1"/>
        <v>41</v>
      </c>
      <c r="B42" s="21">
        <v>45688.0</v>
      </c>
      <c r="C42" s="9" t="s">
        <v>7</v>
      </c>
      <c r="D42" s="10">
        <v>7350.0</v>
      </c>
      <c r="E42" s="11"/>
      <c r="F42" s="12" t="str">
        <f t="shared" si="2"/>
        <v>127990.00</v>
      </c>
      <c r="G42" s="5"/>
      <c r="H42" s="5"/>
      <c r="I42" s="5"/>
      <c r="J42" s="5"/>
      <c r="K42" s="5"/>
      <c r="L42" s="5"/>
      <c r="M42" s="5"/>
      <c r="N42" s="5"/>
    </row>
    <row r="43" ht="15.75" customHeight="1">
      <c r="A43" s="13" t="str">
        <f t="shared" si="1"/>
        <v>42</v>
      </c>
      <c r="B43" s="22">
        <v>45688.0</v>
      </c>
      <c r="C43" s="15" t="s">
        <v>39</v>
      </c>
      <c r="D43" s="16"/>
      <c r="E43" s="17" t="str">
        <f>27*450</f>
        <v>12150.00</v>
      </c>
      <c r="F43" s="18" t="str">
        <f t="shared" si="2"/>
        <v>115840.00</v>
      </c>
      <c r="G43" s="5"/>
      <c r="H43" s="5"/>
      <c r="I43" s="5"/>
      <c r="J43" s="5"/>
      <c r="K43" s="5"/>
      <c r="L43" s="5"/>
      <c r="M43" s="5"/>
      <c r="N43" s="5"/>
    </row>
    <row r="44" ht="15.75" customHeight="1">
      <c r="A44" s="23" t="str">
        <f t="shared" si="1"/>
        <v>43</v>
      </c>
      <c r="B44" s="24" t="s">
        <v>40</v>
      </c>
      <c r="C44" s="24" t="s">
        <v>41</v>
      </c>
      <c r="D44" s="25"/>
      <c r="E44" s="26">
        <v>190.0</v>
      </c>
      <c r="F44" s="27" t="str">
        <f t="shared" si="2"/>
        <v>115650.00</v>
      </c>
      <c r="G44" s="5"/>
      <c r="H44" s="5"/>
      <c r="I44" s="5"/>
      <c r="J44" s="5"/>
      <c r="K44" s="5"/>
      <c r="L44" s="5"/>
      <c r="M44" s="5"/>
      <c r="N44" s="5"/>
    </row>
    <row r="45" ht="15.75" customHeight="1">
      <c r="A45" s="28"/>
      <c r="B45" s="29"/>
      <c r="C45" s="29"/>
      <c r="D45" s="30"/>
      <c r="E45" s="31"/>
      <c r="F45" s="29"/>
      <c r="G45" s="5"/>
      <c r="H45" s="5"/>
      <c r="I45" s="5"/>
      <c r="J45" s="5"/>
      <c r="K45" s="5"/>
      <c r="L45" s="5"/>
      <c r="M45" s="5"/>
      <c r="N45" s="5"/>
    </row>
    <row r="46" ht="15.75" customHeight="1">
      <c r="A46" s="28"/>
      <c r="B46" s="29"/>
      <c r="C46" s="32" t="s">
        <v>42</v>
      </c>
      <c r="D46" s="33" t="str">
        <f>F44-54000</f>
        <v>61650.00</v>
      </c>
      <c r="E46" s="34"/>
      <c r="F46" s="29"/>
      <c r="G46" s="5"/>
      <c r="H46" s="5"/>
      <c r="I46" s="5"/>
      <c r="J46" s="5"/>
      <c r="K46" s="5"/>
      <c r="L46" s="5"/>
      <c r="M46" s="5"/>
      <c r="N46" s="5"/>
    </row>
    <row r="47" ht="15.75" customHeight="1">
      <c r="D47" s="35"/>
      <c r="E47" s="35"/>
    </row>
    <row r="48" ht="15.75" customHeight="1">
      <c r="D48" s="35"/>
      <c r="E48" s="35"/>
    </row>
    <row r="49" ht="15.75" customHeight="1">
      <c r="D49" s="35"/>
      <c r="E49" s="35"/>
    </row>
    <row r="50" ht="15.75" customHeight="1">
      <c r="D50" s="35"/>
      <c r="E50" s="35"/>
    </row>
    <row r="51" ht="15.75" customHeight="1">
      <c r="D51" s="35"/>
      <c r="E51" s="35"/>
    </row>
    <row r="52" ht="15.75" customHeight="1">
      <c r="D52" s="35"/>
      <c r="E52" s="35"/>
    </row>
    <row r="53" ht="15.75" customHeight="1">
      <c r="D53" s="35"/>
      <c r="E53" s="35"/>
    </row>
    <row r="54" ht="15.75" customHeight="1">
      <c r="D54" s="35"/>
      <c r="E54" s="35"/>
    </row>
    <row r="55" ht="15.75" customHeight="1">
      <c r="D55" s="35"/>
      <c r="E55" s="35"/>
    </row>
    <row r="56" ht="15.75" customHeight="1">
      <c r="D56" s="35"/>
      <c r="E56" s="35"/>
    </row>
    <row r="57" ht="15.75" customHeight="1">
      <c r="D57" s="35"/>
      <c r="E57" s="35"/>
    </row>
    <row r="58" ht="15.75" customHeight="1">
      <c r="D58" s="35"/>
      <c r="E58" s="35"/>
    </row>
    <row r="59" ht="15.75" customHeight="1">
      <c r="D59" s="35"/>
      <c r="E59" s="35"/>
    </row>
    <row r="60" ht="15.75" customHeight="1">
      <c r="D60" s="35"/>
      <c r="E60" s="35"/>
    </row>
    <row r="61" ht="15.75" customHeight="1">
      <c r="D61" s="35"/>
      <c r="E61" s="35"/>
    </row>
    <row r="62" ht="15.75" customHeight="1">
      <c r="D62" s="35"/>
      <c r="E62" s="35"/>
    </row>
    <row r="63" ht="15.75" customHeight="1">
      <c r="D63" s="35"/>
      <c r="E63" s="35"/>
    </row>
    <row r="64" ht="15.75" customHeight="1">
      <c r="D64" s="35"/>
      <c r="E64" s="35"/>
    </row>
    <row r="65" ht="15.75" customHeight="1">
      <c r="D65" s="35"/>
      <c r="E65" s="35"/>
    </row>
    <row r="66" ht="15.75" customHeight="1">
      <c r="D66" s="35"/>
      <c r="E66" s="35"/>
    </row>
    <row r="67" ht="15.75" customHeight="1">
      <c r="D67" s="35"/>
      <c r="E67" s="35"/>
    </row>
    <row r="68" ht="15.75" customHeight="1">
      <c r="D68" s="35"/>
      <c r="E68" s="35"/>
    </row>
    <row r="69" ht="15.75" customHeight="1">
      <c r="D69" s="35"/>
      <c r="E69" s="35"/>
    </row>
    <row r="70" ht="15.75" customHeight="1">
      <c r="D70" s="35"/>
      <c r="E70" s="35"/>
    </row>
    <row r="71" ht="15.75" customHeight="1">
      <c r="D71" s="35"/>
      <c r="E71" s="35"/>
    </row>
    <row r="72" ht="15.75" customHeight="1">
      <c r="D72" s="35"/>
      <c r="E72" s="35"/>
    </row>
    <row r="73" ht="15.75" customHeight="1">
      <c r="D73" s="35"/>
      <c r="E73" s="35"/>
    </row>
    <row r="74" ht="15.75" customHeight="1">
      <c r="D74" s="35"/>
      <c r="E74" s="35"/>
    </row>
    <row r="75" ht="15.75" customHeight="1">
      <c r="D75" s="35"/>
      <c r="E75" s="35"/>
    </row>
    <row r="76" ht="15.75" customHeight="1">
      <c r="D76" s="35"/>
      <c r="E76" s="35"/>
    </row>
    <row r="77" ht="15.75" customHeight="1">
      <c r="D77" s="35"/>
      <c r="E77" s="35"/>
    </row>
    <row r="78" ht="15.75" customHeight="1">
      <c r="D78" s="35"/>
      <c r="E78" s="35"/>
    </row>
    <row r="79" ht="15.75" customHeight="1">
      <c r="D79" s="35"/>
      <c r="E79" s="35"/>
    </row>
    <row r="80" ht="15.75" customHeight="1">
      <c r="D80" s="35"/>
      <c r="E80" s="35"/>
    </row>
    <row r="81" ht="15.75" customHeight="1">
      <c r="D81" s="35"/>
      <c r="E81" s="35"/>
    </row>
    <row r="82" ht="15.75" customHeight="1">
      <c r="D82" s="35"/>
      <c r="E82" s="35"/>
    </row>
    <row r="83" ht="15.75" customHeight="1">
      <c r="D83" s="35"/>
      <c r="E83" s="35"/>
    </row>
    <row r="84" ht="15.75" customHeight="1">
      <c r="D84" s="35"/>
      <c r="E84" s="35"/>
    </row>
    <row r="85" ht="15.75" customHeight="1">
      <c r="D85" s="35"/>
      <c r="E85" s="35"/>
    </row>
    <row r="86" ht="15.75" customHeight="1">
      <c r="D86" s="35"/>
      <c r="E86" s="35"/>
    </row>
    <row r="87" ht="15.75" customHeight="1">
      <c r="D87" s="35"/>
      <c r="E87" s="35"/>
    </row>
    <row r="88" ht="15.75" customHeight="1">
      <c r="D88" s="35"/>
      <c r="E88" s="35"/>
    </row>
    <row r="89" ht="15.75" customHeight="1">
      <c r="D89" s="35"/>
      <c r="E89" s="35"/>
    </row>
    <row r="90" ht="15.75" customHeight="1">
      <c r="D90" s="35"/>
      <c r="E90" s="35"/>
    </row>
    <row r="91" ht="15.75" customHeight="1">
      <c r="D91" s="35"/>
      <c r="E91" s="35"/>
    </row>
    <row r="92" ht="15.75" customHeight="1">
      <c r="D92" s="35"/>
      <c r="E92" s="35"/>
    </row>
    <row r="93" ht="15.75" customHeight="1">
      <c r="D93" s="35"/>
      <c r="E93" s="35"/>
    </row>
    <row r="94" ht="15.75" customHeight="1">
      <c r="D94" s="35"/>
      <c r="E94" s="35"/>
    </row>
    <row r="95" ht="15.75" customHeight="1">
      <c r="D95" s="35"/>
      <c r="E95" s="35"/>
    </row>
    <row r="96" ht="15.75" customHeight="1">
      <c r="D96" s="35"/>
      <c r="E96" s="35"/>
    </row>
    <row r="97" ht="15.75" customHeight="1">
      <c r="D97" s="35"/>
      <c r="E97" s="35"/>
    </row>
    <row r="98" ht="15.75" customHeight="1">
      <c r="D98" s="35"/>
      <c r="E98" s="35"/>
    </row>
    <row r="99" ht="15.75" customHeight="1">
      <c r="D99" s="35"/>
      <c r="E99" s="35"/>
    </row>
    <row r="100" ht="15.75" customHeight="1">
      <c r="D100" s="35"/>
      <c r="E100" s="35"/>
    </row>
  </sheetData>
  <mergeCells count="1">
    <mergeCell ref="D46:E46"/>
  </mergeCells>
  <printOptions horizontalCentered="1"/>
  <pageMargins bottom="0.75" footer="0.0" header="0.0" left="0.7" right="0.7" top="0.75"/>
  <pageSetup scale="66" cellComments="atEnd" orientation="landscape" pageOrder="overThenDown" paperHeight="8.5in" paperWidth="11in"/>
  <drawing r:id="rId1"/>
</worksheet>
</file>